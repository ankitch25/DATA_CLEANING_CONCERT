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data analysis\"/>
    </mc:Choice>
  </mc:AlternateContent>
  <xr:revisionPtr revIDLastSave="0" documentId="13_ncr:1_{190A53DE-FF69-4212-B937-EBF7E7F63C31}" xr6:coauthVersionLast="47" xr6:coauthVersionMax="47" xr10:uidLastSave="{00000000-0000-0000-0000-000000000000}"/>
  <bookViews>
    <workbookView xWindow="-110" yWindow="-110" windowWidth="19420" windowHeight="10300" activeTab="1" xr2:uid="{4BDE269F-8EC9-4860-86ED-074357E3AB1B}"/>
  </bookViews>
  <sheets>
    <sheet name="Sheet1" sheetId="2" r:id="rId1"/>
    <sheet name="my_file (1)" sheetId="1" r:id="rId2"/>
  </sheets>
  <definedNames>
    <definedName name="_xlnm._FilterDatabase" localSheetId="1" hidden="1">'my_file (1)'!$A$1:$J$21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 a="1"/>
  <c r="L11" i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<sst xmlns="http://schemas.openxmlformats.org/spreadsheetml/2006/main" count="258" uniqueCount="155">
  <si>
    <t>Rank</t>
  </si>
  <si>
    <t>Peak</t>
  </si>
  <si>
    <t>All Time Peak</t>
  </si>
  <si>
    <t>ActualÂ gross</t>
  </si>
  <si>
    <t>AdjustedÂ gross (in 2022 dollars)</t>
  </si>
  <si>
    <t>Artist</t>
  </si>
  <si>
    <t>Tour title</t>
  </si>
  <si>
    <t>Year(s)</t>
  </si>
  <si>
    <t>Shows</t>
  </si>
  <si>
    <t>Average gross</t>
  </si>
  <si>
    <t>Ref.</t>
  </si>
  <si>
    <t>$780,000,000</t>
  </si>
  <si>
    <t>Taylor Swift</t>
  </si>
  <si>
    <t>The Eras Tour â€ </t>
  </si>
  <si>
    <t>2023â€“2024</t>
  </si>
  <si>
    <t>$13,928,571</t>
  </si>
  <si>
    <t>[1]</t>
  </si>
  <si>
    <t>7[2]</t>
  </si>
  <si>
    <t>$579,800,000</t>
  </si>
  <si>
    <t>BeyoncÃ©</t>
  </si>
  <si>
    <t>Renaissance World Tour</t>
  </si>
  <si>
    <t>$10,353,571</t>
  </si>
  <si>
    <t>[3]</t>
  </si>
  <si>
    <t>1[4]</t>
  </si>
  <si>
    <t>2[5]</t>
  </si>
  <si>
    <t>$411,000,000</t>
  </si>
  <si>
    <t>$560,622,615</t>
  </si>
  <si>
    <t>Madonna</t>
  </si>
  <si>
    <t>Sticky &amp; Sweet Tour â€¡[4][a]</t>
  </si>
  <si>
    <t>2008â€“2009</t>
  </si>
  <si>
    <t>$4,835,294</t>
  </si>
  <si>
    <t>[6]</t>
  </si>
  <si>
    <t>2[7]</t>
  </si>
  <si>
    <t>10[7]</t>
  </si>
  <si>
    <t>$397,300,000</t>
  </si>
  <si>
    <t>$454,751,555</t>
  </si>
  <si>
    <t>Pink</t>
  </si>
  <si>
    <t>Beautiful Trauma World Tour</t>
  </si>
  <si>
    <t>2018â€“2019</t>
  </si>
  <si>
    <t>$2,546,795</t>
  </si>
  <si>
    <t>[7]</t>
  </si>
  <si>
    <t>2[4]</t>
  </si>
  <si>
    <t>$345,675,146</t>
  </si>
  <si>
    <t>$402,844,849</t>
  </si>
  <si>
    <t>Reputation Stadium Tour</t>
  </si>
  <si>
    <t>$6,522,173</t>
  </si>
  <si>
    <t>[8]</t>
  </si>
  <si>
    <t>10[9]</t>
  </si>
  <si>
    <t>$305,158,363</t>
  </si>
  <si>
    <t>$388,978,496</t>
  </si>
  <si>
    <t>The MDNA Tour</t>
  </si>
  <si>
    <t>$3,467,709</t>
  </si>
  <si>
    <t>[9]</t>
  </si>
  <si>
    <t>2[10]</t>
  </si>
  <si>
    <t>$280,000,000</t>
  </si>
  <si>
    <t>$381,932,682</t>
  </si>
  <si>
    <t>Celine Dion</t>
  </si>
  <si>
    <t>Taking Chances World Tour</t>
  </si>
  <si>
    <t>$2,137,405</t>
  </si>
  <si>
    <t>[11]</t>
  </si>
  <si>
    <t>$257,600,000</t>
  </si>
  <si>
    <t>Summer Carnival â€ </t>
  </si>
  <si>
    <t>$6,282,927</t>
  </si>
  <si>
    <t>[12]</t>
  </si>
  <si>
    <t>$256,084,556</t>
  </si>
  <si>
    <t>$312,258,401</t>
  </si>
  <si>
    <t>The Formation World Tour</t>
  </si>
  <si>
    <t>$5,226,215</t>
  </si>
  <si>
    <t>[13]</t>
  </si>
  <si>
    <t>$250,400,000</t>
  </si>
  <si>
    <t>$309,141,878</t>
  </si>
  <si>
    <t>The 1989 World Tour</t>
  </si>
  <si>
    <t>$2,945,882</t>
  </si>
  <si>
    <t>[14]</t>
  </si>
  <si>
    <t>$229,100,000[b]</t>
  </si>
  <si>
    <t>$283,202,896</t>
  </si>
  <si>
    <t>The Mrs. Carter Show World Tour</t>
  </si>
  <si>
    <t>2013â€“2014</t>
  </si>
  <si>
    <t>$1,735,606</t>
  </si>
  <si>
    <t>[15][16]</t>
  </si>
  <si>
    <t>14[17]</t>
  </si>
  <si>
    <t>$227,400,000</t>
  </si>
  <si>
    <t>$295,301,479</t>
  </si>
  <si>
    <t>Lady Gaga</t>
  </si>
  <si>
    <t>The Monster Ball Tour *</t>
  </si>
  <si>
    <t>2009â€“2011</t>
  </si>
  <si>
    <t>$1,118,227</t>
  </si>
  <si>
    <t>[18]</t>
  </si>
  <si>
    <t>$204,000,000</t>
  </si>
  <si>
    <t>$251,856,802</t>
  </si>
  <si>
    <t>Katy Perry</t>
  </si>
  <si>
    <t>Prismatic World Tour</t>
  </si>
  <si>
    <t>2014â€“2015</t>
  </si>
  <si>
    <t>$1,350,993</t>
  </si>
  <si>
    <t>[19]</t>
  </si>
  <si>
    <t>1[20]</t>
  </si>
  <si>
    <t>$200,000,000</t>
  </si>
  <si>
    <t>$299,676,265</t>
  </si>
  <si>
    <t>Cher</t>
  </si>
  <si>
    <t>Living Proof: The Farewell Tour â€¡[21][a]</t>
  </si>
  <si>
    <t>2002â€“2005</t>
  </si>
  <si>
    <t>$615,385</t>
  </si>
  <si>
    <t>[20]</t>
  </si>
  <si>
    <t>2[c]</t>
  </si>
  <si>
    <t>$194,000,000</t>
  </si>
  <si>
    <t>$281,617,035</t>
  </si>
  <si>
    <t>Confessions Tour</t>
  </si>
  <si>
    <t>$3,233,333</t>
  </si>
  <si>
    <t>[5]</t>
  </si>
  <si>
    <t>$184,000,000</t>
  </si>
  <si>
    <t>$227,452,347</t>
  </si>
  <si>
    <t>The Truth About Love Tour</t>
  </si>
  <si>
    <t>$1,295,775</t>
  </si>
  <si>
    <t>[22]</t>
  </si>
  <si>
    <t>$170,000,000</t>
  </si>
  <si>
    <t>$213,568,571</t>
  </si>
  <si>
    <t>Born This Way Ball</t>
  </si>
  <si>
    <t>2012â€“2013</t>
  </si>
  <si>
    <t>$1,734,694</t>
  </si>
  <si>
    <t>[d]</t>
  </si>
  <si>
    <t>$169,800,000</t>
  </si>
  <si>
    <t>$207,046,755</t>
  </si>
  <si>
    <t>Rebel Heart Tour</t>
  </si>
  <si>
    <t>2015â€“2016</t>
  </si>
  <si>
    <t>$2,070,732</t>
  </si>
  <si>
    <t>[4]</t>
  </si>
  <si>
    <t>$167,700,000[e]</t>
  </si>
  <si>
    <t>$204,486,106</t>
  </si>
  <si>
    <t>Adele</t>
  </si>
  <si>
    <t>Adele Live 2016</t>
  </si>
  <si>
    <t>2016â€“2017</t>
  </si>
  <si>
    <t>$1,385,950</t>
  </si>
  <si>
    <t>[25]</t>
  </si>
  <si>
    <t>$150,000,000</t>
  </si>
  <si>
    <t>$185,423,109</t>
  </si>
  <si>
    <t>The Red Tour</t>
  </si>
  <si>
    <t>$1,744,186</t>
  </si>
  <si>
    <t>[26]</t>
  </si>
  <si>
    <t>Actual Gross</t>
  </si>
  <si>
    <t>Adjusted Gross (2022 Dollars)</t>
  </si>
  <si>
    <t>Tour Title</t>
  </si>
  <si>
    <t>Average Gross</t>
  </si>
  <si>
    <t>The Eras Tour</t>
  </si>
  <si>
    <t>Beyoncé</t>
  </si>
  <si>
    <t>Sticky &amp; Sweet Tour</t>
  </si>
  <si>
    <t>Summer Carnival</t>
  </si>
  <si>
    <t>The Monster Ball Tour</t>
  </si>
  <si>
    <t>Living Proof: The Farewell Tour</t>
  </si>
  <si>
    <t>Year</t>
  </si>
  <si>
    <t>2[16]</t>
  </si>
  <si>
    <t>2[0]</t>
  </si>
  <si>
    <t>NOT AVAILABLE</t>
  </si>
  <si>
    <t>Select Artist</t>
  </si>
  <si>
    <t>Best Tour (Adj. Gross)</t>
  </si>
  <si>
    <t>Adjusted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</si>
</sst>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3" borderId="10" xfId="0" applyFont="1" applyFill="1" applyBorder="1" applyAlignment="1">
      <alignment horizontal="center"/>
    </xf>
    <xf numFmtId="164" fontId="18" fillId="34" borderId="0" xfId="0" applyNumberFormat="1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64" fontId="18" fillId="34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18" fillId="34" borderId="0" xfId="0" applyNumberFormat="1" applyFont="1" applyFill="1" applyAlignment="1">
      <alignment horizontal="center"/>
    </xf>
    <xf numFmtId="0" fontId="19" fillId="33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7" fillId="9" borderId="0" xfId="18" applyAlignment="1">
      <alignment horizontal="center"/>
    </xf>
    <xf numFmtId="0" fontId="1" fillId="10" borderId="0" xfId="19" applyAlignment="1">
      <alignment horizontal="center"/>
    </xf>
    <xf numFmtId="164" fontId="1" fillId="10" borderId="0" xfId="19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0180F9-5F7C-4303-BAE3-3D8CCD9870B4}">
  <we:reference id="wa200010215" version="1.0.0.0" store="en-IN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5BD4-8F78-4A23-B68F-6ED4686776BA}">
  <dimension ref="A1:K21"/>
  <sheetViews>
    <sheetView workbookViewId="0">
      <selection activeCell="B11" sqref="B1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</v>
      </c>
      <c r="C2">
        <v>2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>
        <v>56</v>
      </c>
      <c r="J2" t="s">
        <v>15</v>
      </c>
      <c r="K2" t="s">
        <v>16</v>
      </c>
    </row>
    <row r="3" spans="1:11" x14ac:dyDescent="0.35">
      <c r="A3">
        <v>2</v>
      </c>
      <c r="B3">
        <v>1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>
        <v>2023</v>
      </c>
      <c r="I3">
        <v>56</v>
      </c>
      <c r="J3" t="s">
        <v>21</v>
      </c>
      <c r="K3" t="s">
        <v>22</v>
      </c>
    </row>
    <row r="4" spans="1:11" x14ac:dyDescent="0.3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85</v>
      </c>
      <c r="J4" t="s">
        <v>30</v>
      </c>
      <c r="K4" t="s">
        <v>31</v>
      </c>
    </row>
    <row r="5" spans="1:11" x14ac:dyDescent="0.3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156</v>
      </c>
      <c r="J5" t="s">
        <v>39</v>
      </c>
      <c r="K5" t="s">
        <v>40</v>
      </c>
    </row>
    <row r="6" spans="1:11" x14ac:dyDescent="0.35">
      <c r="A6">
        <v>5</v>
      </c>
      <c r="B6" t="s">
        <v>41</v>
      </c>
      <c r="D6" t="s">
        <v>42</v>
      </c>
      <c r="E6" t="s">
        <v>43</v>
      </c>
      <c r="F6" t="s">
        <v>12</v>
      </c>
      <c r="G6" t="s">
        <v>44</v>
      </c>
      <c r="H6">
        <v>2018</v>
      </c>
      <c r="I6">
        <v>53</v>
      </c>
      <c r="J6" t="s">
        <v>45</v>
      </c>
      <c r="K6" t="s">
        <v>46</v>
      </c>
    </row>
    <row r="7" spans="1:11" x14ac:dyDescent="0.35">
      <c r="A7">
        <v>6</v>
      </c>
      <c r="B7" t="s">
        <v>41</v>
      </c>
      <c r="C7" t="s">
        <v>47</v>
      </c>
      <c r="D7" t="s">
        <v>48</v>
      </c>
      <c r="E7" t="s">
        <v>49</v>
      </c>
      <c r="F7" t="s">
        <v>27</v>
      </c>
      <c r="G7" t="s">
        <v>50</v>
      </c>
      <c r="H7">
        <v>2012</v>
      </c>
      <c r="I7">
        <v>88</v>
      </c>
      <c r="J7" t="s">
        <v>51</v>
      </c>
      <c r="K7" t="s">
        <v>52</v>
      </c>
    </row>
    <row r="8" spans="1:11" x14ac:dyDescent="0.35">
      <c r="A8">
        <v>7</v>
      </c>
      <c r="B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29</v>
      </c>
      <c r="I8">
        <v>131</v>
      </c>
      <c r="J8" t="s">
        <v>58</v>
      </c>
      <c r="K8" t="s">
        <v>59</v>
      </c>
    </row>
    <row r="9" spans="1:11" x14ac:dyDescent="0.35">
      <c r="A9">
        <v>7</v>
      </c>
      <c r="B9" t="s">
        <v>41</v>
      </c>
      <c r="D9" t="s">
        <v>60</v>
      </c>
      <c r="E9" t="s">
        <v>60</v>
      </c>
      <c r="F9" t="s">
        <v>36</v>
      </c>
      <c r="G9" t="s">
        <v>61</v>
      </c>
      <c r="H9" t="s">
        <v>14</v>
      </c>
      <c r="I9">
        <v>41</v>
      </c>
      <c r="J9" t="s">
        <v>62</v>
      </c>
      <c r="K9" t="s">
        <v>63</v>
      </c>
    </row>
    <row r="10" spans="1:11" x14ac:dyDescent="0.35">
      <c r="A10">
        <v>9</v>
      </c>
      <c r="B10" t="s">
        <v>149</v>
      </c>
      <c r="D10" t="s">
        <v>64</v>
      </c>
      <c r="E10" t="s">
        <v>65</v>
      </c>
      <c r="F10" t="s">
        <v>19</v>
      </c>
      <c r="G10" t="s">
        <v>66</v>
      </c>
      <c r="H10">
        <v>2016</v>
      </c>
      <c r="I10">
        <v>49</v>
      </c>
      <c r="J10" t="s">
        <v>67</v>
      </c>
      <c r="K10" t="s">
        <v>68</v>
      </c>
    </row>
    <row r="11" spans="1:11" x14ac:dyDescent="0.35">
      <c r="A11">
        <v>10</v>
      </c>
      <c r="D11" t="s">
        <v>69</v>
      </c>
      <c r="E11" t="s">
        <v>70</v>
      </c>
      <c r="F11" t="s">
        <v>12</v>
      </c>
      <c r="G11" t="s">
        <v>71</v>
      </c>
      <c r="H11">
        <v>2015</v>
      </c>
      <c r="I11">
        <v>85</v>
      </c>
      <c r="J11" t="s">
        <v>72</v>
      </c>
      <c r="K11" t="s">
        <v>73</v>
      </c>
    </row>
    <row r="12" spans="1:11" x14ac:dyDescent="0.35">
      <c r="A12">
        <v>11</v>
      </c>
      <c r="D12" t="s">
        <v>74</v>
      </c>
      <c r="E12" t="s">
        <v>75</v>
      </c>
      <c r="F12" t="s">
        <v>19</v>
      </c>
      <c r="G12" t="s">
        <v>76</v>
      </c>
      <c r="H12" t="s">
        <v>77</v>
      </c>
      <c r="I12">
        <v>132</v>
      </c>
      <c r="J12" t="s">
        <v>78</v>
      </c>
      <c r="K12" t="s">
        <v>79</v>
      </c>
    </row>
    <row r="13" spans="1:11" x14ac:dyDescent="0.35">
      <c r="A13">
        <v>12</v>
      </c>
      <c r="B13">
        <v>1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>
        <v>203</v>
      </c>
      <c r="J13" t="s">
        <v>86</v>
      </c>
      <c r="K13" t="s">
        <v>87</v>
      </c>
    </row>
    <row r="14" spans="1:11" x14ac:dyDescent="0.35">
      <c r="A14">
        <v>13</v>
      </c>
      <c r="B14" t="s">
        <v>41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>
        <v>151</v>
      </c>
      <c r="J14" t="s">
        <v>93</v>
      </c>
      <c r="K14" t="s">
        <v>94</v>
      </c>
    </row>
    <row r="15" spans="1:11" x14ac:dyDescent="0.35">
      <c r="A15">
        <v>14</v>
      </c>
      <c r="B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>
        <v>325</v>
      </c>
      <c r="J15" t="s">
        <v>101</v>
      </c>
      <c r="K15" t="s">
        <v>102</v>
      </c>
    </row>
    <row r="16" spans="1:11" x14ac:dyDescent="0.35">
      <c r="A16">
        <v>15</v>
      </c>
      <c r="B16" t="s">
        <v>103</v>
      </c>
      <c r="D16" t="s">
        <v>104</v>
      </c>
      <c r="E16" t="s">
        <v>105</v>
      </c>
      <c r="F16" t="s">
        <v>27</v>
      </c>
      <c r="G16" t="s">
        <v>106</v>
      </c>
      <c r="H16">
        <v>2006</v>
      </c>
      <c r="I16">
        <v>60</v>
      </c>
      <c r="J16" t="s">
        <v>107</v>
      </c>
      <c r="K16" t="s">
        <v>108</v>
      </c>
    </row>
    <row r="17" spans="1:11" x14ac:dyDescent="0.35">
      <c r="A17">
        <v>16</v>
      </c>
      <c r="D17" t="s">
        <v>109</v>
      </c>
      <c r="E17" t="s">
        <v>110</v>
      </c>
      <c r="F17" t="s">
        <v>36</v>
      </c>
      <c r="G17" t="s">
        <v>111</v>
      </c>
      <c r="H17" t="s">
        <v>77</v>
      </c>
      <c r="I17">
        <v>142</v>
      </c>
      <c r="J17" t="s">
        <v>112</v>
      </c>
      <c r="K17" t="s">
        <v>113</v>
      </c>
    </row>
    <row r="18" spans="1:11" x14ac:dyDescent="0.35">
      <c r="A18">
        <v>17</v>
      </c>
      <c r="B18" t="s">
        <v>150</v>
      </c>
      <c r="D18" t="s">
        <v>114</v>
      </c>
      <c r="E18" t="s">
        <v>115</v>
      </c>
      <c r="F18" t="s">
        <v>83</v>
      </c>
      <c r="G18" t="s">
        <v>116</v>
      </c>
      <c r="H18" t="s">
        <v>117</v>
      </c>
      <c r="I18">
        <v>98</v>
      </c>
      <c r="J18" t="s">
        <v>118</v>
      </c>
      <c r="K18" t="s">
        <v>119</v>
      </c>
    </row>
    <row r="19" spans="1:11" x14ac:dyDescent="0.35">
      <c r="A19">
        <v>18</v>
      </c>
      <c r="B19" t="s">
        <v>41</v>
      </c>
      <c r="D19" t="s">
        <v>120</v>
      </c>
      <c r="E19" t="s">
        <v>121</v>
      </c>
      <c r="F19" t="s">
        <v>27</v>
      </c>
      <c r="G19" t="s">
        <v>122</v>
      </c>
      <c r="H19" t="s">
        <v>123</v>
      </c>
      <c r="I19">
        <v>82</v>
      </c>
      <c r="J19" t="s">
        <v>124</v>
      </c>
      <c r="K19" t="s">
        <v>125</v>
      </c>
    </row>
    <row r="20" spans="1:11" x14ac:dyDescent="0.35">
      <c r="A20">
        <v>19</v>
      </c>
      <c r="B20" t="s">
        <v>41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>
        <v>121</v>
      </c>
      <c r="J20" t="s">
        <v>131</v>
      </c>
      <c r="K20" t="s">
        <v>132</v>
      </c>
    </row>
    <row r="21" spans="1:11" x14ac:dyDescent="0.35">
      <c r="A21">
        <v>20</v>
      </c>
      <c r="B21" t="s">
        <v>41</v>
      </c>
      <c r="D21" t="s">
        <v>133</v>
      </c>
      <c r="E21" t="s">
        <v>134</v>
      </c>
      <c r="F21" t="s">
        <v>12</v>
      </c>
      <c r="G21" t="s">
        <v>135</v>
      </c>
      <c r="H21" t="s">
        <v>77</v>
      </c>
      <c r="I21">
        <v>86</v>
      </c>
      <c r="J21" t="s">
        <v>136</v>
      </c>
      <c r="K2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D43F-B4FE-46AC-9C2A-07A92FE0BC1B}">
  <dimension ref="A1:N21"/>
  <sheetViews>
    <sheetView tabSelected="1" topLeftCell="F1" workbookViewId="0">
      <selection activeCell="L14" sqref="L14"/>
    </sheetView>
  </sheetViews>
  <sheetFormatPr defaultRowHeight="14.5" x14ac:dyDescent="0.35"/>
  <cols>
    <col min="1" max="1" width="9.54296875" style="6" bestFit="1" customWidth="1"/>
    <col min="2" max="2" width="13.90625" style="6" bestFit="1" customWidth="1"/>
    <col min="3" max="3" width="16.54296875" style="6" bestFit="1" customWidth="1"/>
    <col min="4" max="4" width="15.81640625" style="6" bestFit="1" customWidth="1"/>
    <col min="5" max="5" width="30.453125" style="5" bestFit="1" customWidth="1"/>
    <col min="6" max="6" width="10.54296875" style="9" bestFit="1" customWidth="1"/>
    <col min="7" max="7" width="29.26953125" style="6" bestFit="1" customWidth="1"/>
    <col min="8" max="8" width="12.7265625" style="6" bestFit="1" customWidth="1"/>
    <col min="9" max="9" width="10.7265625" style="6" bestFit="1" customWidth="1"/>
    <col min="10" max="10" width="17.26953125" style="6" bestFit="1" customWidth="1"/>
    <col min="11" max="11" width="19.26953125" style="6" bestFit="1" customWidth="1"/>
    <col min="12" max="12" width="43.1796875" style="6" customWidth="1"/>
    <col min="13" max="13" width="8.7265625" style="6"/>
    <col min="14" max="14" width="10.54296875" style="6" hidden="1" customWidth="1"/>
    <col min="15" max="16384" width="8.7265625" style="6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138</v>
      </c>
      <c r="E1" s="3" t="s">
        <v>139</v>
      </c>
      <c r="F1" s="8" t="s">
        <v>5</v>
      </c>
      <c r="G1" s="1" t="s">
        <v>140</v>
      </c>
      <c r="H1" s="1" t="s">
        <v>148</v>
      </c>
      <c r="I1" s="1" t="s">
        <v>8</v>
      </c>
      <c r="J1" s="1" t="s">
        <v>141</v>
      </c>
      <c r="N1" s="6" t="s">
        <v>12</v>
      </c>
    </row>
    <row r="2" spans="1:14" x14ac:dyDescent="0.35">
      <c r="A2" s="7">
        <v>1</v>
      </c>
      <c r="B2" s="7">
        <v>1</v>
      </c>
      <c r="C2" s="7">
        <v>2</v>
      </c>
      <c r="D2" s="4">
        <v>780000000</v>
      </c>
      <c r="E2" s="2">
        <v>780000000</v>
      </c>
      <c r="F2" s="9" t="s">
        <v>12</v>
      </c>
      <c r="G2" s="6" t="s">
        <v>142</v>
      </c>
      <c r="H2" s="7">
        <v>2024</v>
      </c>
      <c r="I2" s="7">
        <v>56</v>
      </c>
      <c r="J2" s="4">
        <v>13928571</v>
      </c>
      <c r="K2" s="10" t="s">
        <v>152</v>
      </c>
      <c r="L2" s="10" t="s">
        <v>143</v>
      </c>
      <c r="N2" s="6" t="s">
        <v>143</v>
      </c>
    </row>
    <row r="3" spans="1:14" x14ac:dyDescent="0.35">
      <c r="A3" s="7">
        <v>2</v>
      </c>
      <c r="B3" s="7">
        <v>1</v>
      </c>
      <c r="C3" s="7">
        <v>7</v>
      </c>
      <c r="D3" s="4">
        <v>579800000</v>
      </c>
      <c r="E3" s="2">
        <v>579800000</v>
      </c>
      <c r="F3" s="9" t="s">
        <v>143</v>
      </c>
      <c r="G3" s="6" t="s">
        <v>20</v>
      </c>
      <c r="H3" s="7">
        <v>2023</v>
      </c>
      <c r="I3" s="7">
        <v>56</v>
      </c>
      <c r="J3" s="4">
        <v>10353571</v>
      </c>
      <c r="K3"/>
      <c r="L3"/>
      <c r="N3" s="6" t="s">
        <v>27</v>
      </c>
    </row>
    <row r="4" spans="1:14" x14ac:dyDescent="0.35">
      <c r="A4" s="7">
        <v>3</v>
      </c>
      <c r="B4" s="7">
        <v>1</v>
      </c>
      <c r="C4" s="7">
        <v>2</v>
      </c>
      <c r="D4" s="4">
        <v>411000000</v>
      </c>
      <c r="E4" s="2">
        <v>560622615</v>
      </c>
      <c r="F4" s="9" t="s">
        <v>27</v>
      </c>
      <c r="G4" s="6" t="s">
        <v>144</v>
      </c>
      <c r="H4" s="7">
        <v>2009</v>
      </c>
      <c r="I4" s="7">
        <v>85</v>
      </c>
      <c r="J4" s="4">
        <v>4835294</v>
      </c>
      <c r="K4" s="10" t="s">
        <v>153</v>
      </c>
      <c r="L4" s="11" t="str" cm="1">
        <f t="array" ref="L4">INDEX($G$2:$G$21,MATCH(1,($F$2:$F$21=$L$2)*($E$2:$E$21=_xlfn.MAXIFS($E$2:$E$21,$F$2:$F$21,$L$2)),0))</f>
        <v>Renaissance World Tour</v>
      </c>
      <c r="N4" s="6" t="s">
        <v>36</v>
      </c>
    </row>
    <row r="5" spans="1:14" x14ac:dyDescent="0.35">
      <c r="A5" s="7">
        <v>4</v>
      </c>
      <c r="B5" s="7">
        <v>2</v>
      </c>
      <c r="C5" s="7">
        <v>10</v>
      </c>
      <c r="D5" s="4">
        <v>397300000</v>
      </c>
      <c r="E5" s="2">
        <v>454751555</v>
      </c>
      <c r="F5" s="9" t="s">
        <v>36</v>
      </c>
      <c r="G5" s="6" t="s">
        <v>37</v>
      </c>
      <c r="H5" s="7">
        <v>2019</v>
      </c>
      <c r="I5" s="7">
        <v>156</v>
      </c>
      <c r="J5" s="4">
        <v>2546795</v>
      </c>
      <c r="K5" s="10" t="s">
        <v>0</v>
      </c>
      <c r="L5" s="11" cm="1">
        <f t="array" ref="L5">INDEX($A$2:$A$21,MATCH(1,($F$2:$F$21=$L$2)*($E$2:$E$21=_xlfn.MAXIFS($E$2:$E$21,$F$2:$F$21,$L$2)),0))</f>
        <v>2</v>
      </c>
      <c r="N5" s="6" t="s">
        <v>56</v>
      </c>
    </row>
    <row r="6" spans="1:14" x14ac:dyDescent="0.35">
      <c r="A6" s="7">
        <v>5</v>
      </c>
      <c r="B6" s="7">
        <v>2</v>
      </c>
      <c r="C6" s="7" t="s">
        <v>151</v>
      </c>
      <c r="D6" s="4">
        <v>345675146</v>
      </c>
      <c r="E6" s="2">
        <v>402844849</v>
      </c>
      <c r="F6" s="9" t="s">
        <v>12</v>
      </c>
      <c r="G6" s="6" t="s">
        <v>44</v>
      </c>
      <c r="H6" s="7">
        <v>2018</v>
      </c>
      <c r="I6" s="7">
        <v>53</v>
      </c>
      <c r="J6" s="4">
        <v>6522173</v>
      </c>
      <c r="K6" s="10" t="s">
        <v>1</v>
      </c>
      <c r="L6" s="11" cm="1">
        <f t="array" ref="L6">INDEX($B$2:$B$21,MATCH(1,($F$2:$F$21=$L$2)*($E$2:$E$21=_xlfn.MAXIFS($E$2:$E$21,$F$2:$F$21,$L$2)),0))</f>
        <v>1</v>
      </c>
      <c r="N6" s="6" t="s">
        <v>98</v>
      </c>
    </row>
    <row r="7" spans="1:14" x14ac:dyDescent="0.35">
      <c r="A7" s="7">
        <v>6</v>
      </c>
      <c r="B7" s="7">
        <v>2</v>
      </c>
      <c r="C7" s="7">
        <v>10</v>
      </c>
      <c r="D7" s="4">
        <v>305158363</v>
      </c>
      <c r="E7" s="2">
        <v>388978496</v>
      </c>
      <c r="F7" s="9" t="s">
        <v>27</v>
      </c>
      <c r="G7" s="6" t="s">
        <v>50</v>
      </c>
      <c r="H7" s="7">
        <v>2012</v>
      </c>
      <c r="I7" s="7">
        <v>88</v>
      </c>
      <c r="J7" s="4">
        <v>3467709</v>
      </c>
      <c r="K7" s="10" t="s">
        <v>2</v>
      </c>
      <c r="L7" s="11" cm="1">
        <f t="array" ref="L7">INDEX($C$2:$C$21,MATCH(1,($F$2:$F$21=$L$2)*($E$2:$E$21=_xlfn.MAXIFS($E$2:$E$21,$F$2:$F$21,$L$2)),0))</f>
        <v>7</v>
      </c>
      <c r="N7" s="6" t="s">
        <v>83</v>
      </c>
    </row>
    <row r="8" spans="1:14" x14ac:dyDescent="0.35">
      <c r="A8" s="7">
        <v>7</v>
      </c>
      <c r="B8" s="7">
        <v>2</v>
      </c>
      <c r="C8" s="7" t="s">
        <v>151</v>
      </c>
      <c r="D8" s="4">
        <v>280000000</v>
      </c>
      <c r="E8" s="2">
        <v>381932682</v>
      </c>
      <c r="F8" s="9" t="s">
        <v>56</v>
      </c>
      <c r="G8" s="6" t="s">
        <v>57</v>
      </c>
      <c r="H8" s="7">
        <v>2009</v>
      </c>
      <c r="I8" s="7">
        <v>131</v>
      </c>
      <c r="J8" s="4">
        <v>2137405</v>
      </c>
      <c r="K8" s="10" t="s">
        <v>138</v>
      </c>
      <c r="L8" s="12" cm="1">
        <f t="array" ref="L8">INDEX($D$2:$D$21,MATCH(1,($F$2:$F$21=$L$2)*($E$2:$E$21=_xlfn.MAXIFS($E$2:$E$21,$F$2:$F$21,$L$2)),0))</f>
        <v>579800000</v>
      </c>
      <c r="N8" s="6" t="s">
        <v>90</v>
      </c>
    </row>
    <row r="9" spans="1:14" x14ac:dyDescent="0.35">
      <c r="A9" s="7">
        <v>9</v>
      </c>
      <c r="B9" s="7" t="s">
        <v>151</v>
      </c>
      <c r="C9" s="7" t="s">
        <v>151</v>
      </c>
      <c r="D9" s="4">
        <v>256084556</v>
      </c>
      <c r="E9" s="2">
        <v>312258401</v>
      </c>
      <c r="F9" s="9" t="s">
        <v>143</v>
      </c>
      <c r="G9" s="6" t="s">
        <v>66</v>
      </c>
      <c r="H9" s="7">
        <v>2016</v>
      </c>
      <c r="I9" s="7">
        <v>49</v>
      </c>
      <c r="J9" s="4">
        <v>5226215</v>
      </c>
      <c r="K9" s="10" t="s">
        <v>154</v>
      </c>
      <c r="L9" s="12" cm="1">
        <f t="array" ref="L9">INDEX($E$2:$E$21,MATCH(1,($F$2:$F$21=$L$2)*($E$2:$E$21=_xlfn.MAXIFS($E$2:$E$21,$F$2:$F$21,$L$2)),0))</f>
        <v>579800000</v>
      </c>
      <c r="N9" s="6" t="s">
        <v>128</v>
      </c>
    </row>
    <row r="10" spans="1:14" x14ac:dyDescent="0.35">
      <c r="A10" s="7">
        <v>10</v>
      </c>
      <c r="B10" s="7" t="s">
        <v>151</v>
      </c>
      <c r="C10" s="7" t="s">
        <v>151</v>
      </c>
      <c r="D10" s="4">
        <v>250400000</v>
      </c>
      <c r="E10" s="2">
        <v>309141878</v>
      </c>
      <c r="F10" s="9" t="s">
        <v>12</v>
      </c>
      <c r="G10" s="6" t="s">
        <v>71</v>
      </c>
      <c r="H10" s="7">
        <v>2015</v>
      </c>
      <c r="I10" s="7">
        <v>85</v>
      </c>
      <c r="J10" s="4">
        <v>2945882</v>
      </c>
      <c r="K10" s="10" t="s">
        <v>148</v>
      </c>
      <c r="L10" s="11" cm="1">
        <f t="array" ref="L10">INDEX($H$2:$H$21,MATCH(1,($F$2:$F$21=$L$2)*($E$2:$E$21=_xlfn.MAXIFS($E$2:$E$21,$F$2:$F$21,$L$2)),0))</f>
        <v>2023</v>
      </c>
    </row>
    <row r="11" spans="1:14" x14ac:dyDescent="0.35">
      <c r="A11" s="7">
        <v>14</v>
      </c>
      <c r="B11" s="7">
        <v>1</v>
      </c>
      <c r="C11" s="7" t="s">
        <v>151</v>
      </c>
      <c r="D11" s="4">
        <v>200000000</v>
      </c>
      <c r="E11" s="2">
        <v>299676265</v>
      </c>
      <c r="F11" s="9" t="s">
        <v>98</v>
      </c>
      <c r="G11" s="6" t="s">
        <v>147</v>
      </c>
      <c r="H11" s="7">
        <v>2005</v>
      </c>
      <c r="I11" s="7">
        <v>325</v>
      </c>
      <c r="J11" s="4">
        <v>615385</v>
      </c>
      <c r="K11" s="10" t="s">
        <v>8</v>
      </c>
      <c r="L11" s="11" cm="1">
        <f t="array" ref="L11">INDEX($I$2:$I$21,MATCH(1,($F$2:$F$21=$L$2)*($E$2:$E$21=_xlfn.MAXIFS($E$2:$E$21,$F$2:$F$21,$L$2)),0))</f>
        <v>56</v>
      </c>
    </row>
    <row r="12" spans="1:14" x14ac:dyDescent="0.35">
      <c r="A12" s="7">
        <v>12</v>
      </c>
      <c r="B12" s="7" t="s">
        <v>151</v>
      </c>
      <c r="C12" s="7">
        <v>14</v>
      </c>
      <c r="D12" s="4">
        <v>227400000</v>
      </c>
      <c r="E12" s="2">
        <v>295301479</v>
      </c>
      <c r="F12" s="9" t="s">
        <v>83</v>
      </c>
      <c r="G12" s="6" t="s">
        <v>146</v>
      </c>
      <c r="H12" s="7">
        <v>2011</v>
      </c>
      <c r="I12" s="7">
        <v>203</v>
      </c>
      <c r="J12" s="4">
        <v>1118227</v>
      </c>
    </row>
    <row r="13" spans="1:14" x14ac:dyDescent="0.35">
      <c r="A13" s="7">
        <v>11</v>
      </c>
      <c r="B13" s="7" t="s">
        <v>151</v>
      </c>
      <c r="C13" s="7" t="s">
        <v>151</v>
      </c>
      <c r="D13" s="4">
        <v>229100000</v>
      </c>
      <c r="E13" s="2">
        <v>283202896</v>
      </c>
      <c r="F13" s="9" t="s">
        <v>143</v>
      </c>
      <c r="G13" s="6" t="s">
        <v>76</v>
      </c>
      <c r="H13" s="7">
        <v>2014</v>
      </c>
      <c r="I13" s="7">
        <v>132</v>
      </c>
      <c r="J13" s="4">
        <v>1735606</v>
      </c>
    </row>
    <row r="14" spans="1:14" x14ac:dyDescent="0.35">
      <c r="A14" s="7">
        <v>15</v>
      </c>
      <c r="B14" s="7">
        <v>2</v>
      </c>
      <c r="C14" s="7" t="s">
        <v>151</v>
      </c>
      <c r="D14" s="4">
        <v>194000000</v>
      </c>
      <c r="E14" s="2">
        <v>281617035</v>
      </c>
      <c r="F14" s="9" t="s">
        <v>27</v>
      </c>
      <c r="G14" s="6" t="s">
        <v>106</v>
      </c>
      <c r="H14" s="7">
        <v>2006</v>
      </c>
      <c r="I14" s="7">
        <v>60</v>
      </c>
      <c r="J14" s="4">
        <v>3233333</v>
      </c>
    </row>
    <row r="15" spans="1:14" x14ac:dyDescent="0.35">
      <c r="A15" s="7">
        <v>7</v>
      </c>
      <c r="B15" s="7" t="s">
        <v>151</v>
      </c>
      <c r="C15" s="7" t="s">
        <v>151</v>
      </c>
      <c r="D15" s="4">
        <v>257600000</v>
      </c>
      <c r="E15" s="2">
        <v>257600000</v>
      </c>
      <c r="F15" s="9" t="s">
        <v>36</v>
      </c>
      <c r="G15" s="6" t="s">
        <v>145</v>
      </c>
      <c r="H15" s="7">
        <v>2024</v>
      </c>
      <c r="I15" s="7">
        <v>41</v>
      </c>
      <c r="J15" s="4">
        <v>6282927</v>
      </c>
    </row>
    <row r="16" spans="1:14" x14ac:dyDescent="0.35">
      <c r="A16" s="7">
        <v>13</v>
      </c>
      <c r="B16" s="7" t="s">
        <v>151</v>
      </c>
      <c r="C16" s="7" t="s">
        <v>151</v>
      </c>
      <c r="D16" s="4">
        <v>204000000</v>
      </c>
      <c r="E16" s="2">
        <v>251856802</v>
      </c>
      <c r="F16" s="9" t="s">
        <v>90</v>
      </c>
      <c r="G16" s="6" t="s">
        <v>91</v>
      </c>
      <c r="H16" s="7">
        <v>2015</v>
      </c>
      <c r="I16" s="7">
        <v>151</v>
      </c>
      <c r="J16" s="4">
        <v>1350993</v>
      </c>
    </row>
    <row r="17" spans="1:10" x14ac:dyDescent="0.35">
      <c r="A17" s="7">
        <v>16</v>
      </c>
      <c r="B17" s="7" t="s">
        <v>151</v>
      </c>
      <c r="C17" s="7" t="s">
        <v>151</v>
      </c>
      <c r="D17" s="4">
        <v>184000000</v>
      </c>
      <c r="E17" s="2">
        <v>227452347</v>
      </c>
      <c r="F17" s="9" t="s">
        <v>36</v>
      </c>
      <c r="G17" s="6" t="s">
        <v>111</v>
      </c>
      <c r="H17" s="7">
        <v>2014</v>
      </c>
      <c r="I17" s="7">
        <v>142</v>
      </c>
      <c r="J17" s="4">
        <v>1295775</v>
      </c>
    </row>
    <row r="18" spans="1:10" x14ac:dyDescent="0.35">
      <c r="A18" s="7">
        <v>17</v>
      </c>
      <c r="B18" s="7" t="s">
        <v>151</v>
      </c>
      <c r="C18" s="7" t="s">
        <v>151</v>
      </c>
      <c r="D18" s="4">
        <v>170000000</v>
      </c>
      <c r="E18" s="2">
        <v>213568571</v>
      </c>
      <c r="F18" s="9" t="s">
        <v>83</v>
      </c>
      <c r="G18" s="6" t="s">
        <v>116</v>
      </c>
      <c r="H18" s="7">
        <v>2013</v>
      </c>
      <c r="I18" s="7">
        <v>98</v>
      </c>
      <c r="J18" s="4">
        <v>1734694</v>
      </c>
    </row>
    <row r="19" spans="1:10" x14ac:dyDescent="0.35">
      <c r="A19" s="7">
        <v>18</v>
      </c>
      <c r="B19" s="7" t="s">
        <v>151</v>
      </c>
      <c r="C19" s="7" t="s">
        <v>151</v>
      </c>
      <c r="D19" s="4">
        <v>169800000</v>
      </c>
      <c r="E19" s="2">
        <v>207046755</v>
      </c>
      <c r="F19" s="9" t="s">
        <v>27</v>
      </c>
      <c r="G19" s="6" t="s">
        <v>122</v>
      </c>
      <c r="H19" s="7">
        <v>2016</v>
      </c>
      <c r="I19" s="7">
        <v>82</v>
      </c>
      <c r="J19" s="4">
        <v>2070732</v>
      </c>
    </row>
    <row r="20" spans="1:10" x14ac:dyDescent="0.35">
      <c r="A20" s="7">
        <v>19</v>
      </c>
      <c r="B20" s="7" t="s">
        <v>151</v>
      </c>
      <c r="C20" s="7" t="s">
        <v>151</v>
      </c>
      <c r="D20" s="4">
        <v>167700000</v>
      </c>
      <c r="E20" s="2">
        <v>204486106</v>
      </c>
      <c r="F20" s="9" t="s">
        <v>128</v>
      </c>
      <c r="G20" s="6" t="s">
        <v>129</v>
      </c>
      <c r="H20" s="7">
        <v>2017</v>
      </c>
      <c r="I20" s="7">
        <v>121</v>
      </c>
      <c r="J20" s="4">
        <v>1385950</v>
      </c>
    </row>
    <row r="21" spans="1:10" x14ac:dyDescent="0.35">
      <c r="A21" s="7">
        <v>20</v>
      </c>
      <c r="B21" s="7" t="s">
        <v>151</v>
      </c>
      <c r="C21" s="7" t="s">
        <v>151</v>
      </c>
      <c r="D21" s="4">
        <v>150000000</v>
      </c>
      <c r="E21" s="2">
        <v>185423109</v>
      </c>
      <c r="F21" s="9" t="s">
        <v>12</v>
      </c>
      <c r="G21" s="6" t="s">
        <v>135</v>
      </c>
      <c r="H21" s="7">
        <v>2014</v>
      </c>
      <c r="I21" s="7">
        <v>86</v>
      </c>
      <c r="J21" s="4">
        <v>1744186</v>
      </c>
    </row>
  </sheetData>
  <autoFilter ref="A1:J21" xr:uid="{06F3D43F-B4FE-46AC-9C2A-07A92FE0BC1B}">
    <sortState xmlns:xlrd2="http://schemas.microsoft.com/office/spreadsheetml/2017/richdata2" ref="A2:J21">
      <sortCondition descending="1" ref="E1:E21"/>
    </sortState>
  </autoFilter>
  <sortState xmlns:xlrd2="http://schemas.microsoft.com/office/spreadsheetml/2017/richdata2" ref="A2:J21">
    <sortCondition ref="E2:E21"/>
  </sortState>
  <dataValidations count="1">
    <dataValidation type="list" allowBlank="1" showInputMessage="1" showErrorMessage="1" promptTitle="Choose artist" prompt="Select an artist from the list." sqref="L2" xr:uid="{0D0B24BC-9DC4-44C4-BE81-7C84A4821D27}">
      <formula1>$N$1:$N$9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my_file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CHETRY</dc:creator>
  <cp:lastModifiedBy>ANKIT CHETRY</cp:lastModifiedBy>
  <dcterms:created xsi:type="dcterms:W3CDTF">2026-03-31T12:36:44Z</dcterms:created>
  <dcterms:modified xsi:type="dcterms:W3CDTF">2026-03-31T14:52:37Z</dcterms:modified>
</cp:coreProperties>
</file>